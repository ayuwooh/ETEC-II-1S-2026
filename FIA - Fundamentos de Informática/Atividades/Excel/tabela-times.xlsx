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Equipes" sheetId="1" state="visible" r:id="rId2"/>
    <sheet name="Partidas" sheetId="2" state="visible" r:id="rId3"/>
    <sheet name="Resultado" sheetId="3" state="visible" r:id="rId4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<sst xmlns="http://schemas.openxmlformats.org/spreadsheetml/2006/main" count="17" uniqueCount="17">
  <si>
    <t>ID</t>
  </si>
  <si>
    <t>Nome</t>
  </si>
  <si>
    <t xml:space="preserve">Qtd. Membros</t>
  </si>
  <si>
    <t>Lésbiconas</t>
  </si>
  <si>
    <t xml:space="preserve">Ctrl Alt Delete</t>
  </si>
  <si>
    <t xml:space="preserve">Tax Evaders</t>
  </si>
  <si>
    <t>Lista</t>
  </si>
  <si>
    <t>Vitórias</t>
  </si>
  <si>
    <t>Empates</t>
  </si>
  <si>
    <t>Derrotas</t>
  </si>
  <si>
    <t>Partidas</t>
  </si>
  <si>
    <t>Pontuação</t>
  </si>
  <si>
    <t xml:space="preserve">Equipe Campeã:</t>
  </si>
  <si>
    <t xml:space="preserve">Equipe Lanterna:</t>
  </si>
  <si>
    <t xml:space="preserve">Maior Pontuação:</t>
  </si>
  <si>
    <t xml:space="preserve">Menor Pontuação:</t>
  </si>
  <si>
    <t xml:space="preserve">Média de Pontos de Equipes: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</si>
</sst>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 style="none"/>
      <right style="none"/>
      <top style="none"/>
      <bottom style="none"/>
      <diagonal style="none"/>
    </border>
    <border>
      <left style="none"/>
      <right style="none"/>
      <top style="thin">
        <color theme="4" tint="0.39997558519241921"/>
      </top>
      <bottom style="thin">
        <color theme="4" tint="0.39997558519241921"/>
      </bottom>
      <diagonal style="none"/>
      <horizontal style="thin">
        <color theme="4" tint="0.39997558519241921"/>
      </horizontal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/>
    <xf fontId="0" fillId="0" borderId="1" numFmtId="0" xfId="0" applyBorder="1">
      <protection hidden="0" locked="1"/>
    </xf>
    <xf fontId="0" fillId="0" borderId="0" numFmtId="0" xfId="0">
      <protection hidden="0" locked="1"/>
    </xf>
    <xf fontId="0" fillId="0" borderId="0" numFmtId="0" xfId="0"/>
    <xf fontId="1" fillId="0" borderId="0" numFmtId="0" xfId="0" applyFont="1"/>
    <xf fontId="1" fillId="2" borderId="2" numFmtId="0" xfId="0" applyFont="1" applyFill="1" applyBorder="1" applyAlignment="1">
      <alignment horizontal="left"/>
    </xf>
    <xf fontId="0" fillId="2" borderId="2" numFmtId="0" xfId="0" applyFill="1" applyBorder="1" applyAlignment="1">
      <alignment horizontal="center"/>
    </xf>
    <xf fontId="0" fillId="2" borderId="2" numFmtId="0" xfId="0" applyFill="1" applyBorder="1" applyAlignment="1">
      <alignment horizontal="center"/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2" ref="J5:L8">
  <autoFilter ref="J5:L8"/>
  <tableColumns count="3">
    <tableColumn id="1" name="ID"/>
    <tableColumn id="2" name="Nome"/>
    <tableColumn id="3" name="Qtd. Membro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displayName="Table3" ref="J5:Q8">
  <autoFilter ref="J5:Q8"/>
  <tableColumns count="8">
    <tableColumn id="1" name="ID"/>
    <tableColumn id="2" name="Nome"/>
    <tableColumn id="3" name="Qtd. Membros"/>
    <tableColumn id="4" name="Vitórias"/>
    <tableColumn id="5" name="Empates"/>
    <tableColumn id="6" name="Derrotas"/>
    <tableColumn id="7" name="Partidas"/>
    <tableColumn id="8" name="Pontuação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A1" activeCellId="0" sqref="A1"/>
    </sheetView>
  </sheetViews>
  <sheetFormatPr defaultRowHeight="14.25"/>
  <cols>
    <col bestFit="1" min="11" max="11" width="12.28125"/>
    <col bestFit="1" min="12" max="12" width="15.8515625"/>
  </cols>
  <sheetData>
    <row r="1" ht="14.25">
      <c r="A1" s="1"/>
      <c r="B1" s="2"/>
    </row>
    <row r="2" ht="14.25">
      <c r="A2" s="2"/>
      <c r="B2" s="2"/>
    </row>
    <row r="3" ht="14.25">
      <c r="A3" s="2"/>
      <c r="B3" s="2"/>
    </row>
    <row r="5" ht="14.25">
      <c r="J5" t="s">
        <v>0</v>
      </c>
      <c r="K5" t="s">
        <v>1</v>
      </c>
      <c r="L5" t="s">
        <v>2</v>
      </c>
    </row>
    <row r="6" ht="14.25">
      <c r="J6" s="2">
        <v>1</v>
      </c>
      <c r="K6" s="3" t="s">
        <v>3</v>
      </c>
      <c r="L6" s="2">
        <v>5</v>
      </c>
    </row>
    <row r="7" ht="14.25">
      <c r="J7" s="2">
        <v>2</v>
      </c>
      <c r="K7" s="3" t="s">
        <v>4</v>
      </c>
      <c r="L7" s="2">
        <v>5</v>
      </c>
    </row>
    <row r="8" ht="14.25">
      <c r="J8" s="2">
        <v>3</v>
      </c>
      <c r="K8" s="3" t="s">
        <v>5</v>
      </c>
      <c r="L8" s="2">
        <v>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11" scale="76" fitToWidth="1" fitToHeight="1" pageOrder="downThenOver" orientation="landscape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A1" activeCellId="0" sqref="A1"/>
    </sheetView>
  </sheetViews>
  <sheetFormatPr defaultRowHeight="14.25"/>
  <cols>
    <col bestFit="1" min="11" max="11" width="12.28125"/>
    <col bestFit="1" min="12" max="12" width="15.8515625"/>
    <col bestFit="1" min="16" max="16" width="15.140625"/>
    <col bestFit="1" min="17" max="17" width="12.421875"/>
  </cols>
  <sheetData>
    <row r="4">
      <c r="S4" t="s">
        <v>6</v>
      </c>
    </row>
    <row r="5">
      <c r="J5" s="2" t="s">
        <v>0</v>
      </c>
      <c r="K5" s="2" t="s">
        <v>1</v>
      </c>
      <c r="L5" s="2" t="s">
        <v>2</v>
      </c>
      <c r="M5" t="s">
        <v>7</v>
      </c>
      <c r="N5" t="s">
        <v>8</v>
      </c>
      <c r="O5" t="s">
        <v>9</v>
      </c>
      <c r="P5" t="s">
        <v>10</v>
      </c>
      <c r="Q5" t="s">
        <v>11</v>
      </c>
      <c r="S5">
        <v>1</v>
      </c>
    </row>
    <row r="6">
      <c r="J6" s="2">
        <v>1</v>
      </c>
      <c r="K6" s="2" t="str">
        <f>VLOOKUP(Table3[[#This Row],[ID]],Table2[],2,FALSE)</f>
        <v>Lésbiconas</v>
      </c>
      <c r="L6" s="2">
        <f>VLOOKUP(Table3[[#This Row],[ID]],Table2[],3,FALSE)</f>
        <v>5</v>
      </c>
      <c r="M6" s="2">
        <v>2</v>
      </c>
      <c r="N6" s="2">
        <v>0</v>
      </c>
      <c r="O6" s="2">
        <v>1</v>
      </c>
      <c r="P6" s="2">
        <v>3</v>
      </c>
      <c r="Q6" s="2">
        <f>Table3[[#This Row],[Vitórias]]*3+Table3[[#This Row],[Empates]]</f>
        <v>6</v>
      </c>
      <c r="S6">
        <v>2</v>
      </c>
    </row>
    <row r="7">
      <c r="J7" s="2">
        <v>2</v>
      </c>
      <c r="K7" s="2" t="str">
        <f>VLOOKUP(Table3[[#This Row],[ID]],Table2[],2,FALSE)</f>
        <v xml:space="preserve">Ctrl Alt Delete</v>
      </c>
      <c r="L7" s="2">
        <f>VLOOKUP(Table3[[#This Row],[ID]],Table2[],3,FALSE)</f>
        <v>5</v>
      </c>
      <c r="M7" s="2">
        <v>1</v>
      </c>
      <c r="N7" s="2">
        <v>2</v>
      </c>
      <c r="O7" s="2">
        <v>0</v>
      </c>
      <c r="P7" s="2">
        <v>3</v>
      </c>
      <c r="Q7" s="2">
        <f>Table3[[#This Row],[Vitórias]]*3+Table3[[#This Row],[Empates]]</f>
        <v>5</v>
      </c>
      <c r="S7">
        <v>3</v>
      </c>
    </row>
    <row r="8">
      <c r="J8" s="2">
        <v>3</v>
      </c>
      <c r="K8" s="2" t="str">
        <f>VLOOKUP(Table3[[#This Row],[ID]],Table2[],2,FALSE)</f>
        <v xml:space="preserve">Tax Evaders</v>
      </c>
      <c r="L8" s="2">
        <f>VLOOKUP(Table3[[#This Row],[ID]],Table2[],3,FALSE)</f>
        <v>5</v>
      </c>
      <c r="M8" s="2">
        <v>1</v>
      </c>
      <c r="N8" s="2">
        <v>1</v>
      </c>
      <c r="O8" s="2">
        <v>1</v>
      </c>
      <c r="P8" s="2">
        <v>3</v>
      </c>
      <c r="Q8" s="2">
        <f>Table3[[#This Row],[Vitórias]]*3+Table3[[#This Row],[Empates]]</f>
        <v>4</v>
      </c>
      <c r="S8">
        <v>4</v>
      </c>
    </row>
    <row r="9">
      <c r="J9" s="2"/>
      <c r="K9" s="2"/>
      <c r="L9" s="2"/>
      <c r="M9" s="2"/>
      <c r="N9" s="2"/>
      <c r="O9" s="2"/>
      <c r="P9" s="2"/>
      <c r="Q9" s="2"/>
      <c r="S9">
        <v>5</v>
      </c>
    </row>
    <row r="10">
      <c r="J10" s="2"/>
      <c r="K10" s="2"/>
      <c r="L10" s="2"/>
      <c r="M10" s="2"/>
      <c r="N10" s="2"/>
      <c r="O10" s="2"/>
      <c r="P10" s="2"/>
      <c r="Q10" s="2"/>
      <c r="S10">
        <v>6</v>
      </c>
    </row>
    <row r="11">
      <c r="J11" s="2"/>
      <c r="K11" s="2"/>
      <c r="L11" s="2"/>
      <c r="M11" s="2"/>
      <c r="N11" s="2"/>
      <c r="O11" s="2"/>
      <c r="P11" s="4" t="s">
        <v>12</v>
      </c>
      <c r="Q11" s="2" t="str">
        <f>INDEX(Table3[Nome],MATCH(MAX(Table3[Pontuação]),Table3[Pontuação],0))</f>
        <v>Lésbiconas</v>
      </c>
      <c r="S11">
        <v>7</v>
      </c>
    </row>
    <row r="12">
      <c r="P12" s="4" t="s">
        <v>13</v>
      </c>
      <c r="Q12" t="str">
        <f>INDEX(Table3[Nome],MATCH(MIN(Table3[Pontuação]),Table3[Pontuação],0))</f>
        <v xml:space="preserve">Tax Evaders</v>
      </c>
      <c r="S12">
        <v>8</v>
      </c>
    </row>
    <row r="13">
      <c r="S13">
        <v>9</v>
      </c>
    </row>
    <row r="14">
      <c r="S14">
        <v>10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11" scale="47" fitToWidth="1" fitToHeight="1" pageOrder="downThenOver" orientation="landscape" usePrinterDefaults="1" blackAndWhite="0" draft="0" cellComments="none" useFirstPageNumber="0" errors="displayed" horizontalDpi="600" verticalDpi="600" copies="1"/>
  <headerFooter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1754719F-540E-4827-A9DC-AB7D7DEB8615}" type="list" allowBlank="1" errorStyle="stop" imeMode="noControl" operator="between" showDropDown="0" showErrorMessage="1" showInputMessage="1">
          <x14:formula1>
            <xm:f>$S$5:$S$14</xm:f>
          </x14:formula1>
          <xm:sqref>P6:P8</xm:sqref>
        </x14:dataValidation>
        <x14:dataValidation xr:uid="{5C0CC5B4-A3BC-4F07-86AF-75205C2E20E0}" type="custom" allowBlank="1" errorStyle="stop" imeMode="noControl" operator="between" showDropDown="0" showErrorMessage="1" showInputMessage="1">
          <x14:formula1>
            <xm:f>SUM($M$6:$O$6)&lt;=$P$6</xm:f>
          </x14:formula1>
          <xm:sqref>M6:O6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A1" activeCellId="0" sqref="A1"/>
    </sheetView>
  </sheetViews>
  <sheetFormatPr defaultRowHeight="14.25"/>
  <cols>
    <col bestFit="1" min="10" max="10" width="25.57421875"/>
    <col bestFit="1" min="11" max="11" width="10.7109375"/>
  </cols>
  <sheetData>
    <row r="5">
      <c r="J5" s="5" t="s">
        <v>12</v>
      </c>
      <c r="K5" s="6" t="str">
        <f>Partidas!Q11</f>
        <v>Lésbiconas</v>
      </c>
    </row>
    <row r="6">
      <c r="J6" s="5" t="s">
        <v>13</v>
      </c>
      <c r="K6" s="7" t="str">
        <f>Partidas!Q12</f>
        <v xml:space="preserve">Tax Evaders</v>
      </c>
    </row>
    <row r="7">
      <c r="J7" s="5" t="s">
        <v>14</v>
      </c>
      <c r="K7" s="7">
        <f>MAX(Table3[Pontuação])</f>
        <v>6</v>
      </c>
    </row>
    <row r="8">
      <c r="J8" s="5" t="s">
        <v>15</v>
      </c>
      <c r="K8" s="7">
        <f>MIN(Table3[Pontuação])</f>
        <v>4</v>
      </c>
    </row>
    <row r="9">
      <c r="J9" s="5" t="s">
        <v>16</v>
      </c>
      <c r="K9" s="7">
        <f>AVERAGE(Table3[Pontuação])</f>
        <v>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11" scale="76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2026-05-28T20:02:48Z</dcterms:modified>
</cp:coreProperties>
</file>